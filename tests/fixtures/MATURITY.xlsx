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PROJECTS\MT\test file\"/>
    </mc:Choice>
  </mc:AlternateContent>
  <xr:revisionPtr revIDLastSave="0" documentId="13_ncr:1_{2E36FFC1-9673-4D81-86E3-F0329C93B8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3" l="1"/>
  <c r="J51" i="3" l="1"/>
  <c r="H106" i="3" l="1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 l="1"/>
  <c r="H86" i="3"/>
  <c r="H85" i="3"/>
  <c r="H84" i="3" l="1"/>
  <c r="H83" i="3"/>
  <c r="H82" i="3"/>
  <c r="H81" i="3"/>
  <c r="H80" i="3"/>
  <c r="H79" i="3"/>
  <c r="H78" i="3"/>
  <c r="H77" i="3"/>
  <c r="H76" i="3"/>
  <c r="H75" i="3"/>
  <c r="H74" i="3"/>
  <c r="H73" i="3"/>
  <c r="H72" i="3" l="1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 l="1"/>
  <c r="H49" i="3"/>
  <c r="H48" i="3"/>
  <c r="H47" i="3"/>
  <c r="H46" i="3"/>
  <c r="H45" i="3"/>
  <c r="H44" i="3"/>
  <c r="H43" i="3"/>
  <c r="H42" i="3"/>
  <c r="H41" i="3"/>
  <c r="H39" i="3"/>
  <c r="H38" i="3"/>
  <c r="H37" i="3" l="1"/>
  <c r="H36" i="3"/>
  <c r="H35" i="3"/>
  <c r="H34" i="3"/>
  <c r="H33" i="3"/>
  <c r="H32" i="3"/>
  <c r="H31" i="3" l="1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 l="1"/>
  <c r="H16" i="3"/>
  <c r="H15" i="3"/>
  <c r="H14" i="3"/>
  <c r="H13" i="3"/>
  <c r="H12" i="3"/>
  <c r="H11" i="3"/>
  <c r="H10" i="3"/>
  <c r="H9" i="3"/>
  <c r="H8" i="3" l="1"/>
  <c r="H7" i="3"/>
  <c r="H6" i="3"/>
  <c r="H5" i="3"/>
  <c r="H4" i="3"/>
  <c r="H3" i="3" l="1"/>
  <c r="H2" i="3"/>
</calcChain>
</file>

<file path=xl/sharedStrings.xml><?xml version="1.0" encoding="utf-8"?>
<sst xmlns="http://schemas.openxmlformats.org/spreadsheetml/2006/main" count="300" uniqueCount="184">
  <si>
    <t>Payment Date</t>
  </si>
  <si>
    <t>MOHD RAZA</t>
  </si>
  <si>
    <t>AZIM</t>
  </si>
  <si>
    <t>RAMASHRY</t>
  </si>
  <si>
    <t>DEEPAK KUMAR</t>
  </si>
  <si>
    <t>29/6/2026</t>
  </si>
  <si>
    <t>SAVITRI DEVI</t>
  </si>
  <si>
    <t>PINTOO</t>
  </si>
  <si>
    <t>ASHISH MAURYA</t>
  </si>
  <si>
    <t>HARSHIT SINGH</t>
  </si>
  <si>
    <t>SANJAY SHARMA</t>
  </si>
  <si>
    <t>ASHAD</t>
  </si>
  <si>
    <t>SANTOSH GUPTA</t>
  </si>
  <si>
    <t>ARADHNA RAI</t>
  </si>
  <si>
    <t>24/7/2026</t>
  </si>
  <si>
    <t xml:space="preserve">TEEPU </t>
  </si>
  <si>
    <t>ABRAR</t>
  </si>
  <si>
    <t>29/7/2026</t>
  </si>
  <si>
    <t>AFJAL AHMAD</t>
  </si>
  <si>
    <t>25/7/2026</t>
  </si>
  <si>
    <t>ROSHAN CHAUHAN</t>
  </si>
  <si>
    <t>27/7/2026</t>
  </si>
  <si>
    <t>SUNITA SINGH</t>
  </si>
  <si>
    <t>RAM KUMAR</t>
  </si>
  <si>
    <t>KUNTI</t>
  </si>
  <si>
    <t>30/7/2026</t>
  </si>
  <si>
    <t>SHUBHAM SHARMA</t>
  </si>
  <si>
    <t>31/7/2026</t>
  </si>
  <si>
    <t>MARIYAM</t>
  </si>
  <si>
    <t>PARVEZ AHMAD KHAN</t>
  </si>
  <si>
    <t>ABID</t>
  </si>
  <si>
    <t>JAGANNATH MAURYA</t>
  </si>
  <si>
    <t>RAGVENDRA</t>
  </si>
  <si>
    <t>ASGAR</t>
  </si>
  <si>
    <t>PURUSHTTOM DAS AGRAWL</t>
  </si>
  <si>
    <t>AMAN GUPTA</t>
  </si>
  <si>
    <t>DEVRAJI</t>
  </si>
  <si>
    <t>VIMAL KUMAR</t>
  </si>
  <si>
    <t>17/7/2026</t>
  </si>
  <si>
    <t>PANKAJ YADAV</t>
  </si>
  <si>
    <t>KEDAR NISHAD</t>
  </si>
  <si>
    <t>ANIL BARNWAL</t>
  </si>
  <si>
    <t>PRAHLAD GUPTA</t>
  </si>
  <si>
    <t xml:space="preserve">AMRESH </t>
  </si>
  <si>
    <t>VIJAY SHANKAR</t>
  </si>
  <si>
    <t>HARINARAYAN</t>
  </si>
  <si>
    <t>RAMU PRAJAPATI</t>
  </si>
  <si>
    <t>22/6/2024</t>
  </si>
  <si>
    <t>FAIZ</t>
  </si>
  <si>
    <t>BHARTI DEVI</t>
  </si>
  <si>
    <t>RAMBAJ</t>
  </si>
  <si>
    <t xml:space="preserve">RAVIKANT </t>
  </si>
  <si>
    <t>PRAVINA VISHWAKARMA</t>
  </si>
  <si>
    <t>PREEMA</t>
  </si>
  <si>
    <t>SALMAN</t>
  </si>
  <si>
    <t>SHREECHANDRA</t>
  </si>
  <si>
    <t>MANISHA</t>
  </si>
  <si>
    <t>UMAKANT SINGH</t>
  </si>
  <si>
    <t>NURAFSHA</t>
  </si>
  <si>
    <t>MO ASHIF</t>
  </si>
  <si>
    <t>MANIK CHAND</t>
  </si>
  <si>
    <t>VISHAL NISHAD</t>
  </si>
  <si>
    <t>TRIBHUVAN SEVAL</t>
  </si>
  <si>
    <t>MOHD TAUHEED AHAMD</t>
  </si>
  <si>
    <t>MANGAL PRASAD</t>
  </si>
  <si>
    <t>SAMEER AHMAD</t>
  </si>
  <si>
    <t>MAMTA YADAV</t>
  </si>
  <si>
    <t>KISHAN KU GUPTA</t>
  </si>
  <si>
    <t>JAYADA KHATOON</t>
  </si>
  <si>
    <t>15/2/2026</t>
  </si>
  <si>
    <t>NIKHIL KUMAR</t>
  </si>
  <si>
    <t>AFSAR JAMAL</t>
  </si>
  <si>
    <t>SUNIL KU YADAV</t>
  </si>
  <si>
    <t>SHAILENDRA PANDEY</t>
  </si>
  <si>
    <t>RAMASHRY MARYA JI</t>
  </si>
  <si>
    <t>ZERA DEVI</t>
  </si>
  <si>
    <t>CHAMPA</t>
  </si>
  <si>
    <t>TAMMANA KHATOON</t>
  </si>
  <si>
    <t>20/7/2026</t>
  </si>
  <si>
    <t>USHA SAROJ</t>
  </si>
  <si>
    <t>SANI KUMAR</t>
  </si>
  <si>
    <t>7/8/202</t>
  </si>
  <si>
    <t>ARUN KUMAR</t>
  </si>
  <si>
    <t>KAMLESH MAURY</t>
  </si>
  <si>
    <t>VISHAL PRAJAPATI</t>
  </si>
  <si>
    <t>MOHIT PANDEY</t>
  </si>
  <si>
    <t>MOHD TABISH</t>
  </si>
  <si>
    <t>NAFISA KHATOON</t>
  </si>
  <si>
    <t>ABHISHEK</t>
  </si>
  <si>
    <t>KUMARI DEVI</t>
  </si>
  <si>
    <t>SHYAMPYARI</t>
  </si>
  <si>
    <t>ANITA KUMARI</t>
  </si>
  <si>
    <t>ARCHANA</t>
  </si>
  <si>
    <t>ABHISHEK YADAV</t>
  </si>
  <si>
    <t>26/6/2026</t>
  </si>
  <si>
    <t>UMESH NISHAD</t>
  </si>
  <si>
    <t>AKERAM ASLAM KHAN</t>
  </si>
  <si>
    <t>RAJ JAISWAR</t>
  </si>
  <si>
    <t>REETESH</t>
  </si>
  <si>
    <t>AKHILEHS DUBEY</t>
  </si>
  <si>
    <t>LAKHMI DEVI</t>
  </si>
  <si>
    <t>YASHWANT SINH</t>
  </si>
  <si>
    <t>GOVIND NIDHAD</t>
  </si>
  <si>
    <t>PHUSHPA MADDESIYA</t>
  </si>
  <si>
    <t>KUSUM DEVI</t>
  </si>
  <si>
    <t>RITESH RAI</t>
  </si>
  <si>
    <t>GANGA PRASAD</t>
  </si>
  <si>
    <t>VIKASH KUMAR</t>
  </si>
  <si>
    <t>RANU DEVI</t>
  </si>
  <si>
    <t>FAHEEM AHMAD</t>
  </si>
  <si>
    <t>DURGVIJAY BHADUR</t>
  </si>
  <si>
    <t>RAHUL MAURYA</t>
  </si>
  <si>
    <t xml:space="preserve">ABHISHEK </t>
  </si>
  <si>
    <t>HASAN ABDULLAH</t>
  </si>
  <si>
    <t>USAH DEVI</t>
  </si>
  <si>
    <t>FAHEM</t>
  </si>
  <si>
    <t>NAZRUL ISLAM</t>
  </si>
  <si>
    <t>KIRAN DEVI</t>
  </si>
  <si>
    <t>SHASHIKANT YADAV</t>
  </si>
  <si>
    <t>PREMA</t>
  </si>
  <si>
    <t>JAINAB KHATON</t>
  </si>
  <si>
    <t>13/8/2026</t>
  </si>
  <si>
    <t>KAMAL</t>
  </si>
  <si>
    <t>NANDLAL YADAV</t>
  </si>
  <si>
    <t>ANIL KUMAR GUPTA</t>
  </si>
  <si>
    <t>SHANKAR MAURYA</t>
  </si>
  <si>
    <t>VIJAY SHANKAR SONKAR</t>
  </si>
  <si>
    <t>INDU</t>
  </si>
  <si>
    <t>MANSA DEVI</t>
  </si>
  <si>
    <t>SANDIP KUMAR</t>
  </si>
  <si>
    <t>15/4/2026</t>
  </si>
  <si>
    <t>CHANDRAKALA CHAURASIYA</t>
  </si>
  <si>
    <t>AKHILESH PRAJAPTI</t>
  </si>
  <si>
    <t>FARHAN AHMAD</t>
  </si>
  <si>
    <t>MHTAB ALAM</t>
  </si>
  <si>
    <t>MANOJ</t>
  </si>
  <si>
    <t>SANJAY YADAV</t>
  </si>
  <si>
    <t>14/8/2026</t>
  </si>
  <si>
    <t>RAJKUMARI DEVI</t>
  </si>
  <si>
    <t>ATIF</t>
  </si>
  <si>
    <t>MANKU GOND</t>
  </si>
  <si>
    <t>SHABNAM PARVEEN</t>
  </si>
  <si>
    <t>18/8/2026</t>
  </si>
  <si>
    <t>SHASHIKALA DEVI</t>
  </si>
  <si>
    <t>6/8/202</t>
  </si>
  <si>
    <t>MANOJ RAJBHAR</t>
  </si>
  <si>
    <t>DURGESH YADAV</t>
  </si>
  <si>
    <t>NAHRJEET MAURYA</t>
  </si>
  <si>
    <t>BABULAL VERMA</t>
  </si>
  <si>
    <t>ANTIMA PAL</t>
  </si>
  <si>
    <t>CHHAVI RAJ</t>
  </si>
  <si>
    <t>10/6/202</t>
  </si>
  <si>
    <t>NEHA GOEL</t>
  </si>
  <si>
    <t>SWEJAL YADAV</t>
  </si>
  <si>
    <t>MRITUNJAY KU YADAV</t>
  </si>
  <si>
    <t>SURENDRA YADAV'</t>
  </si>
  <si>
    <t>AKHILESH YADAV</t>
  </si>
  <si>
    <t>23/1/2025</t>
  </si>
  <si>
    <t>AJIT VERMA</t>
  </si>
  <si>
    <t>RAUMIT SINGH</t>
  </si>
  <si>
    <t>TARKESH GOND</t>
  </si>
  <si>
    <t>NANDU RAJBHAR</t>
  </si>
  <si>
    <t>RAUNAK GUPTA</t>
  </si>
  <si>
    <t>SAMEER NIGAM</t>
  </si>
  <si>
    <t>RAMESH</t>
  </si>
  <si>
    <t>AMIT BARNWAL\</t>
  </si>
  <si>
    <t>VIPIN KUMAR</t>
  </si>
  <si>
    <t>ARMAN KHAN</t>
  </si>
  <si>
    <t>17/8/2026</t>
  </si>
  <si>
    <t>SAGAR</t>
  </si>
  <si>
    <t>FAHEEM</t>
  </si>
  <si>
    <t>MATHURI GUPTA</t>
  </si>
  <si>
    <t>RITESH SINGH</t>
  </si>
  <si>
    <t>SUNITA DEVI</t>
  </si>
  <si>
    <t>ROHIT SONKAR</t>
  </si>
  <si>
    <t>Customer Name</t>
  </si>
  <si>
    <t>Maturity Amount</t>
  </si>
  <si>
    <t>Paid Maturity</t>
  </si>
  <si>
    <t>Remaining Amount</t>
  </si>
  <si>
    <t>Customer's Agent Name</t>
  </si>
  <si>
    <t>Form Submission Date</t>
  </si>
  <si>
    <t>Savings Account Number</t>
  </si>
  <si>
    <t>Date of Maturity</t>
  </si>
  <si>
    <t>Today's Approved Withdrawalable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</si>
</sst>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/>
    </xf>
    <xf numFmtId="0" fontId="1" fillId="0" borderId="0" xfId="0" applyFont="1"/>
    <xf numFmtId="14" fontId="1" fillId="0" borderId="0" xfId="0" applyNumberFormat="1" applyFont="1"/>
    <xf numFmtId="166" fontId="1" fillId="0" borderId="0" xfId="0" applyNumberFormat="1" applyFont="1"/>
    <xf numFmtId="166" fontId="0" fillId="0" borderId="0" xfId="0" applyNumberFormat="1" applyAlignment="1">
      <alignment horizontal="right"/>
    </xf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topLeftCell="B1" zoomScale="96" zoomScaleNormal="96" workbookViewId="0">
      <selection activeCell="J1" sqref="J1"/>
    </sheetView>
  </sheetViews>
  <sheetFormatPr defaultRowHeight="15" x14ac:dyDescent="0.25"/>
  <cols>
    <col min="1" max="1" width="23.5703125" style="8" bestFit="1" customWidth="1"/>
    <col min="2" max="2" width="26.7109375" customWidth="1"/>
    <col min="3" max="3" width="15.7109375" style="6" bestFit="1" customWidth="1"/>
    <col min="4" max="4" width="21" style="1" bestFit="1" customWidth="1"/>
    <col min="5" max="5" width="13.5703125" style="2" bestFit="1" customWidth="1"/>
    <col min="6" max="6" width="16.140625" customWidth="1"/>
    <col min="7" max="7" width="13.5703125" customWidth="1"/>
    <col min="8" max="8" width="18.28515625" bestFit="1" customWidth="1"/>
    <col min="9" max="9" width="22.7109375" bestFit="1" customWidth="1"/>
    <col min="10" max="10" width="40.140625" bestFit="1" customWidth="1"/>
  </cols>
  <sheetData>
    <row r="1" spans="1:10" s="3" customFormat="1" x14ac:dyDescent="0.25">
      <c r="A1" s="7" t="s">
        <v>181</v>
      </c>
      <c r="B1" s="3" t="s">
        <v>175</v>
      </c>
      <c r="C1" s="5" t="s">
        <v>182</v>
      </c>
      <c r="D1" s="4" t="s">
        <v>180</v>
      </c>
      <c r="E1" s="4" t="s">
        <v>0</v>
      </c>
      <c r="F1" s="3" t="s">
        <v>176</v>
      </c>
      <c r="G1" s="3" t="s">
        <v>177</v>
      </c>
      <c r="H1" s="3" t="s">
        <v>178</v>
      </c>
      <c r="I1" s="3" t="s">
        <v>179</v>
      </c>
      <c r="J1" s="3" t="s">
        <v>183</v>
      </c>
    </row>
    <row r="2" spans="1:10" x14ac:dyDescent="0.25">
      <c r="A2" s="8">
        <v>1001602329</v>
      </c>
      <c r="B2" t="s">
        <v>18</v>
      </c>
      <c r="C2" s="6" t="s">
        <v>5</v>
      </c>
      <c r="D2" s="1" t="s">
        <v>14</v>
      </c>
      <c r="E2" s="2" t="s">
        <v>17</v>
      </c>
      <c r="F2">
        <v>104035</v>
      </c>
      <c r="G2">
        <v>80000</v>
      </c>
      <c r="H2">
        <f t="shared" ref="H2:H3" si="0">F2-G2</f>
        <v>24035</v>
      </c>
      <c r="I2" t="s">
        <v>6</v>
      </c>
      <c r="J2">
        <v>0</v>
      </c>
    </row>
    <row r="3" spans="1:10" x14ac:dyDescent="0.25">
      <c r="A3" s="8">
        <v>1611498</v>
      </c>
      <c r="B3" t="s">
        <v>20</v>
      </c>
      <c r="C3" s="6" t="s">
        <v>14</v>
      </c>
      <c r="D3" s="1" t="s">
        <v>19</v>
      </c>
      <c r="E3" s="2" t="s">
        <v>17</v>
      </c>
      <c r="F3">
        <v>158495</v>
      </c>
      <c r="G3">
        <v>150000</v>
      </c>
      <c r="H3">
        <f t="shared" si="0"/>
        <v>8495</v>
      </c>
      <c r="I3" t="s">
        <v>8</v>
      </c>
      <c r="J3">
        <v>0</v>
      </c>
    </row>
    <row r="4" spans="1:10" x14ac:dyDescent="0.25">
      <c r="A4" s="8">
        <v>1610789</v>
      </c>
      <c r="B4" t="s">
        <v>24</v>
      </c>
      <c r="C4" s="6">
        <v>46271</v>
      </c>
      <c r="D4" s="1" t="s">
        <v>17</v>
      </c>
      <c r="E4" s="2">
        <v>46089</v>
      </c>
      <c r="F4">
        <v>45102</v>
      </c>
      <c r="G4">
        <v>20000</v>
      </c>
      <c r="H4">
        <f t="shared" ref="H4:H55" si="1">F4-G4</f>
        <v>25102</v>
      </c>
      <c r="I4" t="s">
        <v>23</v>
      </c>
      <c r="J4">
        <v>25000</v>
      </c>
    </row>
    <row r="5" spans="1:10" x14ac:dyDescent="0.25">
      <c r="A5" s="8">
        <v>1611532</v>
      </c>
      <c r="B5" t="s">
        <v>26</v>
      </c>
      <c r="C5" s="6" t="s">
        <v>21</v>
      </c>
      <c r="D5" s="1" t="s">
        <v>25</v>
      </c>
      <c r="E5" s="2">
        <v>46089</v>
      </c>
      <c r="F5">
        <v>159795</v>
      </c>
      <c r="G5">
        <v>90000</v>
      </c>
      <c r="H5">
        <f t="shared" si="1"/>
        <v>69795</v>
      </c>
      <c r="I5" t="s">
        <v>15</v>
      </c>
      <c r="J5">
        <v>30000</v>
      </c>
    </row>
    <row r="6" spans="1:10" x14ac:dyDescent="0.25">
      <c r="A6" s="8">
        <v>1611547</v>
      </c>
      <c r="B6" t="s">
        <v>28</v>
      </c>
      <c r="C6" s="6" t="s">
        <v>17</v>
      </c>
      <c r="D6" s="1">
        <v>46030</v>
      </c>
      <c r="E6" s="2">
        <v>46089</v>
      </c>
      <c r="F6">
        <v>77347</v>
      </c>
      <c r="G6">
        <v>50000</v>
      </c>
      <c r="H6">
        <f t="shared" si="1"/>
        <v>27347</v>
      </c>
      <c r="I6" t="s">
        <v>6</v>
      </c>
      <c r="J6">
        <v>25000</v>
      </c>
    </row>
    <row r="7" spans="1:10" x14ac:dyDescent="0.25">
      <c r="A7" s="8">
        <v>1602722</v>
      </c>
      <c r="B7" t="s">
        <v>29</v>
      </c>
      <c r="C7" s="6">
        <v>46030</v>
      </c>
      <c r="D7" s="1">
        <v>46030</v>
      </c>
      <c r="E7" s="2">
        <v>46120</v>
      </c>
      <c r="F7">
        <v>1590954</v>
      </c>
      <c r="G7">
        <v>1050000</v>
      </c>
      <c r="H7">
        <f t="shared" si="1"/>
        <v>540954</v>
      </c>
      <c r="I7" t="s">
        <v>30</v>
      </c>
      <c r="J7">
        <v>200000</v>
      </c>
    </row>
    <row r="8" spans="1:10" x14ac:dyDescent="0.25">
      <c r="A8" s="8">
        <v>1611548</v>
      </c>
      <c r="B8" t="s">
        <v>31</v>
      </c>
      <c r="C8" s="6" t="s">
        <v>17</v>
      </c>
      <c r="D8" s="1">
        <v>46030</v>
      </c>
      <c r="E8" s="2">
        <v>46120</v>
      </c>
      <c r="F8">
        <v>96676</v>
      </c>
      <c r="G8">
        <v>50000</v>
      </c>
      <c r="H8">
        <f t="shared" si="1"/>
        <v>46676</v>
      </c>
      <c r="I8" t="s">
        <v>74</v>
      </c>
      <c r="J8">
        <v>25000</v>
      </c>
    </row>
    <row r="9" spans="1:10" x14ac:dyDescent="0.25">
      <c r="A9" s="8">
        <v>1001025</v>
      </c>
      <c r="B9" t="s">
        <v>1</v>
      </c>
      <c r="C9" s="6">
        <v>46089</v>
      </c>
      <c r="D9" s="1">
        <v>46150</v>
      </c>
      <c r="E9" s="2">
        <v>46181</v>
      </c>
      <c r="F9">
        <v>157895</v>
      </c>
      <c r="G9">
        <v>130000</v>
      </c>
      <c r="H9">
        <f t="shared" si="1"/>
        <v>27895</v>
      </c>
      <c r="I9" t="s">
        <v>2</v>
      </c>
      <c r="J9">
        <v>0</v>
      </c>
    </row>
    <row r="10" spans="1:10" x14ac:dyDescent="0.25">
      <c r="A10" s="8">
        <v>1602554</v>
      </c>
      <c r="B10" t="s">
        <v>34</v>
      </c>
      <c r="C10" s="6">
        <v>46030</v>
      </c>
      <c r="D10" s="1">
        <v>46089</v>
      </c>
      <c r="E10" s="2">
        <v>46181</v>
      </c>
      <c r="F10">
        <v>234277</v>
      </c>
      <c r="G10">
        <v>184000</v>
      </c>
      <c r="H10">
        <f t="shared" si="1"/>
        <v>50277</v>
      </c>
      <c r="I10" t="s">
        <v>35</v>
      </c>
      <c r="J10">
        <v>50000</v>
      </c>
    </row>
    <row r="11" spans="1:10" x14ac:dyDescent="0.25">
      <c r="A11" s="8">
        <v>1611537</v>
      </c>
      <c r="B11" t="s">
        <v>36</v>
      </c>
      <c r="C11" s="6" t="s">
        <v>21</v>
      </c>
      <c r="D11" s="1">
        <v>46089</v>
      </c>
      <c r="E11" s="2">
        <v>46181</v>
      </c>
      <c r="F11">
        <v>58588</v>
      </c>
      <c r="G11">
        <v>25000</v>
      </c>
      <c r="H11">
        <f t="shared" si="1"/>
        <v>33588</v>
      </c>
      <c r="I11" t="s">
        <v>3</v>
      </c>
      <c r="J11">
        <v>25000</v>
      </c>
    </row>
    <row r="12" spans="1:10" x14ac:dyDescent="0.25">
      <c r="A12" s="8">
        <v>1611415</v>
      </c>
      <c r="B12" t="s">
        <v>37</v>
      </c>
      <c r="C12" s="6" t="s">
        <v>38</v>
      </c>
      <c r="D12" s="1">
        <v>46089</v>
      </c>
      <c r="E12" s="2">
        <v>46181</v>
      </c>
      <c r="F12">
        <v>42289</v>
      </c>
      <c r="G12">
        <v>20000</v>
      </c>
      <c r="H12">
        <f t="shared" si="1"/>
        <v>22289</v>
      </c>
      <c r="I12" t="s">
        <v>174</v>
      </c>
      <c r="J12">
        <v>0</v>
      </c>
    </row>
    <row r="13" spans="1:10" x14ac:dyDescent="0.25">
      <c r="A13" s="8">
        <v>1602606</v>
      </c>
      <c r="B13" t="s">
        <v>40</v>
      </c>
      <c r="C13" s="6">
        <v>46061</v>
      </c>
      <c r="D13" s="1">
        <v>46120</v>
      </c>
      <c r="E13" s="2">
        <v>46181</v>
      </c>
      <c r="F13">
        <v>398238</v>
      </c>
      <c r="G13">
        <v>90000</v>
      </c>
      <c r="H13">
        <f t="shared" si="1"/>
        <v>308238</v>
      </c>
      <c r="I13" t="s">
        <v>41</v>
      </c>
      <c r="J13">
        <v>0</v>
      </c>
    </row>
    <row r="14" spans="1:10" x14ac:dyDescent="0.25">
      <c r="A14" s="8">
        <v>1611650</v>
      </c>
      <c r="B14" t="s">
        <v>42</v>
      </c>
      <c r="C14" s="6">
        <v>46061</v>
      </c>
      <c r="D14" s="1">
        <v>46120</v>
      </c>
      <c r="E14" s="2">
        <v>46181</v>
      </c>
      <c r="F14">
        <v>158895</v>
      </c>
      <c r="G14">
        <v>60000</v>
      </c>
      <c r="H14">
        <f t="shared" si="1"/>
        <v>98895</v>
      </c>
      <c r="I14" t="s">
        <v>41</v>
      </c>
      <c r="J14">
        <v>0</v>
      </c>
    </row>
    <row r="15" spans="1:10" x14ac:dyDescent="0.25">
      <c r="A15" s="8">
        <v>1602641</v>
      </c>
      <c r="B15" t="s">
        <v>44</v>
      </c>
      <c r="C15" s="6">
        <v>46061</v>
      </c>
      <c r="D15" s="1">
        <v>46120</v>
      </c>
      <c r="E15" s="2">
        <v>46181</v>
      </c>
      <c r="F15">
        <v>393238</v>
      </c>
      <c r="G15">
        <v>150000</v>
      </c>
      <c r="H15">
        <f t="shared" si="1"/>
        <v>243238</v>
      </c>
      <c r="I15" t="s">
        <v>10</v>
      </c>
      <c r="J15">
        <v>50000</v>
      </c>
    </row>
    <row r="16" spans="1:10" x14ac:dyDescent="0.25">
      <c r="A16" s="8">
        <v>1602303</v>
      </c>
      <c r="B16" t="s">
        <v>46</v>
      </c>
      <c r="C16" s="6" t="s">
        <v>47</v>
      </c>
      <c r="D16" s="1">
        <v>46120</v>
      </c>
      <c r="E16" s="2">
        <v>46181</v>
      </c>
      <c r="F16">
        <v>6250</v>
      </c>
      <c r="G16">
        <v>0</v>
      </c>
      <c r="H16">
        <f t="shared" si="1"/>
        <v>6250</v>
      </c>
      <c r="I16" t="s">
        <v>48</v>
      </c>
      <c r="J16">
        <v>0</v>
      </c>
    </row>
    <row r="17" spans="1:10" x14ac:dyDescent="0.25">
      <c r="A17" s="8">
        <v>1611618</v>
      </c>
      <c r="B17" t="s">
        <v>49</v>
      </c>
      <c r="C17" s="6">
        <v>46061</v>
      </c>
      <c r="D17" s="1">
        <v>46120</v>
      </c>
      <c r="E17" s="2">
        <v>46181</v>
      </c>
      <c r="F17">
        <v>233843</v>
      </c>
      <c r="G17">
        <v>100000</v>
      </c>
      <c r="H17">
        <f t="shared" si="1"/>
        <v>133843</v>
      </c>
      <c r="I17" t="s">
        <v>7</v>
      </c>
      <c r="J17">
        <v>0</v>
      </c>
    </row>
    <row r="18" spans="1:10" x14ac:dyDescent="0.25">
      <c r="A18" s="8">
        <v>1611564</v>
      </c>
      <c r="B18" t="s">
        <v>50</v>
      </c>
      <c r="C18" s="6" t="s">
        <v>27</v>
      </c>
      <c r="D18" s="1">
        <v>46150</v>
      </c>
      <c r="E18" s="2">
        <v>46211</v>
      </c>
      <c r="F18">
        <v>78847</v>
      </c>
      <c r="G18">
        <v>25000</v>
      </c>
      <c r="H18">
        <f t="shared" si="1"/>
        <v>53847</v>
      </c>
      <c r="I18" t="s">
        <v>51</v>
      </c>
      <c r="J18">
        <v>0</v>
      </c>
    </row>
    <row r="19" spans="1:10" x14ac:dyDescent="0.25">
      <c r="A19" s="8">
        <v>1610575</v>
      </c>
      <c r="B19" t="s">
        <v>52</v>
      </c>
      <c r="C19" s="6">
        <v>46028</v>
      </c>
      <c r="D19" s="1">
        <v>46150</v>
      </c>
      <c r="E19" s="2">
        <v>46211</v>
      </c>
      <c r="F19">
        <v>21601</v>
      </c>
      <c r="G19">
        <v>0</v>
      </c>
      <c r="H19">
        <f t="shared" si="1"/>
        <v>21601</v>
      </c>
      <c r="I19" t="s">
        <v>53</v>
      </c>
      <c r="J19">
        <v>10000</v>
      </c>
    </row>
    <row r="20" spans="1:10" x14ac:dyDescent="0.25">
      <c r="A20" s="8">
        <v>1611675</v>
      </c>
      <c r="B20" t="s">
        <v>54</v>
      </c>
      <c r="C20" s="6">
        <v>46089</v>
      </c>
      <c r="D20" s="1">
        <v>46150</v>
      </c>
      <c r="E20" s="2">
        <v>46211</v>
      </c>
      <c r="F20">
        <v>78647</v>
      </c>
      <c r="G20">
        <v>25000</v>
      </c>
      <c r="H20">
        <f t="shared" si="1"/>
        <v>53647</v>
      </c>
      <c r="I20" t="s">
        <v>13</v>
      </c>
      <c r="J20">
        <v>0</v>
      </c>
    </row>
    <row r="21" spans="1:10" x14ac:dyDescent="0.25">
      <c r="A21" s="8">
        <v>1611653</v>
      </c>
      <c r="B21" t="s">
        <v>55</v>
      </c>
      <c r="C21" s="6">
        <v>46061</v>
      </c>
      <c r="D21" s="1">
        <v>46150</v>
      </c>
      <c r="E21" s="2">
        <v>46211</v>
      </c>
      <c r="F21">
        <v>60119</v>
      </c>
      <c r="G21">
        <v>20000</v>
      </c>
      <c r="H21">
        <f t="shared" si="1"/>
        <v>40119</v>
      </c>
      <c r="I21" t="s">
        <v>12</v>
      </c>
      <c r="J21">
        <v>0</v>
      </c>
    </row>
    <row r="22" spans="1:10" x14ac:dyDescent="0.25">
      <c r="A22" s="8">
        <v>1611633</v>
      </c>
      <c r="B22" t="s">
        <v>57</v>
      </c>
      <c r="C22" s="6">
        <v>46061</v>
      </c>
      <c r="D22" s="1">
        <v>46150</v>
      </c>
      <c r="E22" s="2">
        <v>46211</v>
      </c>
      <c r="F22">
        <v>84820</v>
      </c>
      <c r="G22">
        <v>25000</v>
      </c>
      <c r="H22">
        <f t="shared" si="1"/>
        <v>59820</v>
      </c>
      <c r="I22" t="s">
        <v>56</v>
      </c>
      <c r="J22">
        <v>0</v>
      </c>
    </row>
    <row r="23" spans="1:10" x14ac:dyDescent="0.25">
      <c r="A23" s="8">
        <v>1611682</v>
      </c>
      <c r="B23" t="s">
        <v>58</v>
      </c>
      <c r="C23" s="6">
        <v>46089</v>
      </c>
      <c r="D23" s="1">
        <v>46181</v>
      </c>
      <c r="E23" s="2">
        <v>46211</v>
      </c>
      <c r="F23">
        <v>157495</v>
      </c>
      <c r="G23">
        <v>30000</v>
      </c>
      <c r="H23">
        <f t="shared" si="1"/>
        <v>127495</v>
      </c>
      <c r="I23" t="s">
        <v>7</v>
      </c>
      <c r="J23">
        <v>0</v>
      </c>
    </row>
    <row r="24" spans="1:10" x14ac:dyDescent="0.25">
      <c r="A24" s="8">
        <v>1611619</v>
      </c>
      <c r="B24" t="s">
        <v>59</v>
      </c>
      <c r="C24" s="6">
        <v>46061</v>
      </c>
      <c r="D24" s="1">
        <v>46181</v>
      </c>
      <c r="E24" s="2">
        <v>46211</v>
      </c>
      <c r="F24">
        <v>122638</v>
      </c>
      <c r="G24">
        <v>35000</v>
      </c>
      <c r="H24">
        <f t="shared" si="1"/>
        <v>87638</v>
      </c>
      <c r="I24" t="s">
        <v>7</v>
      </c>
      <c r="J24">
        <v>0</v>
      </c>
    </row>
    <row r="25" spans="1:10" x14ac:dyDescent="0.25">
      <c r="A25" s="8">
        <v>1601595</v>
      </c>
      <c r="B25" t="s">
        <v>60</v>
      </c>
      <c r="C25" s="6">
        <v>46089</v>
      </c>
      <c r="D25" s="1">
        <v>46181</v>
      </c>
      <c r="E25" s="2">
        <v>46211</v>
      </c>
      <c r="F25">
        <v>73156</v>
      </c>
      <c r="G25">
        <v>25000</v>
      </c>
      <c r="H25">
        <f t="shared" si="1"/>
        <v>48156</v>
      </c>
      <c r="I25" t="s">
        <v>7</v>
      </c>
      <c r="J25">
        <v>0</v>
      </c>
    </row>
    <row r="26" spans="1:10" x14ac:dyDescent="0.25">
      <c r="A26" s="8">
        <v>1611697</v>
      </c>
      <c r="B26" t="s">
        <v>61</v>
      </c>
      <c r="C26" s="6">
        <v>46150</v>
      </c>
      <c r="D26" s="1">
        <v>46181</v>
      </c>
      <c r="E26" s="2">
        <v>46211</v>
      </c>
      <c r="F26">
        <v>209089</v>
      </c>
      <c r="G26">
        <v>50000</v>
      </c>
      <c r="H26">
        <f t="shared" si="1"/>
        <v>159089</v>
      </c>
      <c r="I26" t="s">
        <v>7</v>
      </c>
      <c r="J26">
        <v>0</v>
      </c>
    </row>
    <row r="27" spans="1:10" x14ac:dyDescent="0.25">
      <c r="A27" s="8">
        <v>1611668</v>
      </c>
      <c r="B27" t="s">
        <v>62</v>
      </c>
      <c r="C27" s="6">
        <v>46061</v>
      </c>
      <c r="D27" s="1">
        <v>46181</v>
      </c>
      <c r="E27" s="2">
        <v>46211</v>
      </c>
      <c r="F27">
        <v>19849</v>
      </c>
      <c r="G27">
        <v>0</v>
      </c>
      <c r="H27">
        <f t="shared" si="1"/>
        <v>19849</v>
      </c>
      <c r="I27" t="s">
        <v>119</v>
      </c>
      <c r="J27">
        <v>19800</v>
      </c>
    </row>
    <row r="28" spans="1:10" x14ac:dyDescent="0.25">
      <c r="A28" s="8">
        <v>1611496</v>
      </c>
      <c r="B28" t="s">
        <v>63</v>
      </c>
      <c r="C28" s="6" t="s">
        <v>14</v>
      </c>
      <c r="D28" s="1">
        <v>46181</v>
      </c>
      <c r="E28" s="2">
        <v>46211</v>
      </c>
      <c r="F28">
        <v>143342</v>
      </c>
      <c r="G28">
        <v>30000</v>
      </c>
      <c r="H28">
        <f t="shared" si="1"/>
        <v>113342</v>
      </c>
      <c r="I28" t="s">
        <v>16</v>
      </c>
      <c r="J28">
        <v>30000</v>
      </c>
    </row>
    <row r="29" spans="1:10" x14ac:dyDescent="0.25">
      <c r="A29" s="8">
        <v>1611716</v>
      </c>
      <c r="B29" t="s">
        <v>64</v>
      </c>
      <c r="C29" s="6">
        <v>46150</v>
      </c>
      <c r="D29" s="1">
        <v>46181</v>
      </c>
      <c r="E29" s="2">
        <v>46211</v>
      </c>
      <c r="F29">
        <v>79747</v>
      </c>
      <c r="G29">
        <v>0</v>
      </c>
      <c r="H29">
        <f t="shared" si="1"/>
        <v>79747</v>
      </c>
      <c r="I29" t="s">
        <v>12</v>
      </c>
      <c r="J29">
        <v>25000</v>
      </c>
    </row>
    <row r="30" spans="1:10" x14ac:dyDescent="0.25">
      <c r="A30" s="8">
        <v>1611709</v>
      </c>
      <c r="B30" t="s">
        <v>65</v>
      </c>
      <c r="C30" s="6">
        <v>46150</v>
      </c>
      <c r="D30" s="1">
        <v>46181</v>
      </c>
      <c r="E30" s="2">
        <v>46211</v>
      </c>
      <c r="F30">
        <v>39373</v>
      </c>
      <c r="G30">
        <v>20000</v>
      </c>
      <c r="H30">
        <f t="shared" si="1"/>
        <v>19373</v>
      </c>
      <c r="I30" t="s">
        <v>16</v>
      </c>
      <c r="J30">
        <v>20000</v>
      </c>
    </row>
    <row r="31" spans="1:10" x14ac:dyDescent="0.25">
      <c r="A31" s="8">
        <v>1611570</v>
      </c>
      <c r="B31" t="s">
        <v>66</v>
      </c>
      <c r="C31" s="6">
        <v>46030</v>
      </c>
      <c r="D31" s="1">
        <v>46181</v>
      </c>
      <c r="E31" s="2">
        <v>46211</v>
      </c>
      <c r="F31">
        <v>78747</v>
      </c>
      <c r="G31">
        <v>25000</v>
      </c>
      <c r="H31">
        <f t="shared" si="1"/>
        <v>53747</v>
      </c>
      <c r="I31" t="s">
        <v>10</v>
      </c>
      <c r="J31">
        <v>0</v>
      </c>
    </row>
    <row r="32" spans="1:10" x14ac:dyDescent="0.25">
      <c r="A32" s="8">
        <v>1601564</v>
      </c>
      <c r="B32" t="s">
        <v>67</v>
      </c>
      <c r="C32" s="6">
        <v>46116</v>
      </c>
      <c r="D32" s="1">
        <v>46211</v>
      </c>
      <c r="E32" s="2">
        <v>46242</v>
      </c>
      <c r="F32">
        <v>33000</v>
      </c>
      <c r="G32">
        <v>15000</v>
      </c>
      <c r="H32">
        <f t="shared" si="1"/>
        <v>18000</v>
      </c>
      <c r="I32" t="s">
        <v>2</v>
      </c>
      <c r="J32">
        <v>0</v>
      </c>
    </row>
    <row r="33" spans="1:10" x14ac:dyDescent="0.25">
      <c r="A33" s="8">
        <v>1601070</v>
      </c>
      <c r="B33" t="s">
        <v>68</v>
      </c>
      <c r="C33" s="6" t="s">
        <v>69</v>
      </c>
      <c r="D33" s="1">
        <v>46211</v>
      </c>
      <c r="E33" s="2">
        <v>46242</v>
      </c>
      <c r="F33">
        <v>4250</v>
      </c>
      <c r="G33">
        <v>0</v>
      </c>
      <c r="H33">
        <f t="shared" si="1"/>
        <v>4250</v>
      </c>
      <c r="I33" t="s">
        <v>6</v>
      </c>
      <c r="J33">
        <v>4250</v>
      </c>
    </row>
    <row r="34" spans="1:10" x14ac:dyDescent="0.25">
      <c r="A34" s="8">
        <v>1611631</v>
      </c>
      <c r="B34" t="s">
        <v>70</v>
      </c>
      <c r="C34" s="6">
        <v>46061</v>
      </c>
      <c r="D34" s="1">
        <v>46211</v>
      </c>
      <c r="E34" s="2">
        <v>46242</v>
      </c>
      <c r="F34">
        <v>52498</v>
      </c>
      <c r="G34">
        <v>20000</v>
      </c>
      <c r="H34">
        <f t="shared" si="1"/>
        <v>32498</v>
      </c>
      <c r="I34" t="s">
        <v>43</v>
      </c>
      <c r="J34">
        <v>0</v>
      </c>
    </row>
    <row r="35" spans="1:10" x14ac:dyDescent="0.25">
      <c r="A35" s="8">
        <v>1611690</v>
      </c>
      <c r="B35" t="s">
        <v>71</v>
      </c>
      <c r="C35" s="6">
        <v>46089</v>
      </c>
      <c r="D35" s="1">
        <v>46211</v>
      </c>
      <c r="E35" s="2">
        <v>46242</v>
      </c>
      <c r="F35">
        <v>78047</v>
      </c>
      <c r="G35">
        <v>20000</v>
      </c>
      <c r="H35">
        <f t="shared" si="1"/>
        <v>58047</v>
      </c>
      <c r="I35" t="s">
        <v>7</v>
      </c>
      <c r="J35">
        <v>0</v>
      </c>
    </row>
    <row r="36" spans="1:10" x14ac:dyDescent="0.25">
      <c r="A36" s="8">
        <v>1004532</v>
      </c>
      <c r="B36" t="s">
        <v>72</v>
      </c>
      <c r="C36" s="6" t="s">
        <v>27</v>
      </c>
      <c r="D36" s="1">
        <v>46211</v>
      </c>
      <c r="E36" s="2">
        <v>46242</v>
      </c>
      <c r="F36">
        <v>156895</v>
      </c>
      <c r="G36">
        <v>30000</v>
      </c>
      <c r="H36">
        <f t="shared" si="1"/>
        <v>126895</v>
      </c>
      <c r="I36" t="s">
        <v>12</v>
      </c>
      <c r="J36">
        <v>0</v>
      </c>
    </row>
    <row r="37" spans="1:10" x14ac:dyDescent="0.25">
      <c r="A37" s="8">
        <v>1611718</v>
      </c>
      <c r="B37" t="s">
        <v>73</v>
      </c>
      <c r="C37" s="6">
        <v>46150</v>
      </c>
      <c r="D37" s="1">
        <v>46211</v>
      </c>
      <c r="E37" s="2">
        <v>46242</v>
      </c>
      <c r="F37">
        <v>39473</v>
      </c>
      <c r="G37">
        <v>20000</v>
      </c>
      <c r="H37">
        <f t="shared" si="1"/>
        <v>19473</v>
      </c>
      <c r="I37" t="s">
        <v>45</v>
      </c>
      <c r="J37">
        <v>0</v>
      </c>
    </row>
    <row r="38" spans="1:10" x14ac:dyDescent="0.25">
      <c r="A38" s="8">
        <v>1605703</v>
      </c>
      <c r="B38" t="s">
        <v>75</v>
      </c>
      <c r="C38" s="6">
        <v>46240</v>
      </c>
      <c r="D38" s="1">
        <v>46211</v>
      </c>
      <c r="E38" s="2">
        <v>46334</v>
      </c>
      <c r="F38">
        <v>41476</v>
      </c>
      <c r="G38">
        <v>20000</v>
      </c>
      <c r="H38">
        <f t="shared" si="1"/>
        <v>21476</v>
      </c>
      <c r="I38" t="s">
        <v>76</v>
      </c>
      <c r="J38">
        <v>0</v>
      </c>
    </row>
    <row r="39" spans="1:10" x14ac:dyDescent="0.25">
      <c r="A39" s="8">
        <v>1611450</v>
      </c>
      <c r="B39" t="s">
        <v>77</v>
      </c>
      <c r="C39" s="6" t="s">
        <v>78</v>
      </c>
      <c r="D39" s="1">
        <v>46242</v>
      </c>
      <c r="E39" s="2">
        <v>46334</v>
      </c>
      <c r="F39">
        <v>50896</v>
      </c>
      <c r="G39">
        <v>0</v>
      </c>
      <c r="H39">
        <f t="shared" si="1"/>
        <v>50896</v>
      </c>
      <c r="I39" t="s">
        <v>79</v>
      </c>
      <c r="J39">
        <v>25000</v>
      </c>
    </row>
    <row r="40" spans="1:10" x14ac:dyDescent="0.25">
      <c r="A40" s="8">
        <v>1611764</v>
      </c>
      <c r="B40" t="s">
        <v>80</v>
      </c>
      <c r="C40" s="6" t="s">
        <v>81</v>
      </c>
      <c r="D40" s="1">
        <v>46242</v>
      </c>
      <c r="E40" s="2">
        <v>46334</v>
      </c>
      <c r="F40">
        <v>40196</v>
      </c>
      <c r="G40">
        <v>0</v>
      </c>
      <c r="H40">
        <f>F40-G40</f>
        <v>40196</v>
      </c>
      <c r="I40" t="s">
        <v>3</v>
      </c>
      <c r="J40">
        <v>20000</v>
      </c>
    </row>
    <row r="41" spans="1:10" x14ac:dyDescent="0.25">
      <c r="A41" s="8">
        <v>1611730</v>
      </c>
      <c r="B41" t="s">
        <v>82</v>
      </c>
      <c r="C41" s="6">
        <v>46181</v>
      </c>
      <c r="D41" s="1">
        <v>46242</v>
      </c>
      <c r="E41" s="2">
        <v>46334</v>
      </c>
      <c r="F41">
        <v>10500</v>
      </c>
      <c r="G41">
        <v>0</v>
      </c>
      <c r="H41">
        <f t="shared" si="1"/>
        <v>10500</v>
      </c>
      <c r="I41" t="s">
        <v>3</v>
      </c>
      <c r="J41">
        <v>10500</v>
      </c>
    </row>
    <row r="42" spans="1:10" x14ac:dyDescent="0.25">
      <c r="A42" s="8">
        <v>1611761</v>
      </c>
      <c r="B42" t="s">
        <v>83</v>
      </c>
      <c r="C42" s="6">
        <v>46211</v>
      </c>
      <c r="D42" s="1">
        <v>46242</v>
      </c>
      <c r="E42" s="2">
        <v>46334</v>
      </c>
      <c r="F42">
        <v>71071</v>
      </c>
      <c r="G42">
        <v>0</v>
      </c>
      <c r="H42">
        <f t="shared" si="1"/>
        <v>71071</v>
      </c>
      <c r="I42" t="s">
        <v>3</v>
      </c>
      <c r="J42">
        <v>25000</v>
      </c>
    </row>
    <row r="43" spans="1:10" x14ac:dyDescent="0.25">
      <c r="A43" s="8">
        <v>1607509</v>
      </c>
      <c r="B43" t="s">
        <v>84</v>
      </c>
      <c r="C43" s="6">
        <v>46089</v>
      </c>
      <c r="D43" s="1">
        <v>46242</v>
      </c>
      <c r="E43" s="2">
        <v>46334</v>
      </c>
      <c r="F43">
        <v>153000</v>
      </c>
      <c r="G43">
        <v>0</v>
      </c>
      <c r="H43">
        <f t="shared" si="1"/>
        <v>153000</v>
      </c>
      <c r="I43" t="s">
        <v>85</v>
      </c>
      <c r="J43">
        <v>30000</v>
      </c>
    </row>
    <row r="44" spans="1:10" x14ac:dyDescent="0.25">
      <c r="A44" s="8">
        <v>1611572</v>
      </c>
      <c r="B44" t="s">
        <v>86</v>
      </c>
      <c r="C44" s="6">
        <v>46030</v>
      </c>
      <c r="D44" s="1">
        <v>46242</v>
      </c>
      <c r="E44" s="2">
        <v>46334</v>
      </c>
      <c r="F44">
        <v>155322</v>
      </c>
      <c r="G44">
        <v>0</v>
      </c>
      <c r="H44">
        <f t="shared" si="1"/>
        <v>155322</v>
      </c>
      <c r="I44" t="s">
        <v>85</v>
      </c>
      <c r="J44">
        <v>30000</v>
      </c>
    </row>
    <row r="45" spans="1:10" x14ac:dyDescent="0.25">
      <c r="A45" s="8">
        <v>1602576</v>
      </c>
      <c r="B45" t="s">
        <v>87</v>
      </c>
      <c r="C45" s="6">
        <v>46150</v>
      </c>
      <c r="D45" s="1">
        <v>46242</v>
      </c>
      <c r="E45" s="2">
        <v>46334</v>
      </c>
      <c r="F45">
        <v>134713</v>
      </c>
      <c r="G45">
        <v>0</v>
      </c>
      <c r="H45">
        <f t="shared" si="1"/>
        <v>134713</v>
      </c>
      <c r="I45" t="s">
        <v>7</v>
      </c>
      <c r="J45">
        <v>30000</v>
      </c>
    </row>
    <row r="46" spans="1:10" x14ac:dyDescent="0.25">
      <c r="A46" s="8">
        <v>1611696</v>
      </c>
      <c r="B46" t="s">
        <v>88</v>
      </c>
      <c r="C46" s="6">
        <v>46150</v>
      </c>
      <c r="D46" s="1">
        <v>46242</v>
      </c>
      <c r="E46" s="2">
        <v>46334</v>
      </c>
      <c r="F46">
        <v>20501</v>
      </c>
      <c r="G46">
        <v>0</v>
      </c>
      <c r="H46">
        <f t="shared" si="1"/>
        <v>20501</v>
      </c>
      <c r="I46" t="s">
        <v>9</v>
      </c>
      <c r="J46">
        <v>0</v>
      </c>
    </row>
    <row r="47" spans="1:10" x14ac:dyDescent="0.25">
      <c r="A47" s="8">
        <v>1611674</v>
      </c>
      <c r="B47" t="s">
        <v>89</v>
      </c>
      <c r="C47" s="6">
        <v>46089</v>
      </c>
      <c r="D47" s="1">
        <v>46242</v>
      </c>
      <c r="E47" s="2">
        <v>46334</v>
      </c>
      <c r="F47">
        <v>4550</v>
      </c>
      <c r="G47">
        <v>0</v>
      </c>
      <c r="H47">
        <f t="shared" si="1"/>
        <v>4550</v>
      </c>
      <c r="I47" t="s">
        <v>9</v>
      </c>
      <c r="J47">
        <v>0</v>
      </c>
    </row>
    <row r="48" spans="1:10" x14ac:dyDescent="0.25">
      <c r="A48" s="8">
        <v>1602526</v>
      </c>
      <c r="B48" t="s">
        <v>90</v>
      </c>
      <c r="C48" s="6">
        <v>46061</v>
      </c>
      <c r="D48" s="1">
        <v>46242</v>
      </c>
      <c r="E48" s="2">
        <v>46334</v>
      </c>
      <c r="F48">
        <v>21751</v>
      </c>
      <c r="G48">
        <v>0</v>
      </c>
      <c r="H48">
        <f t="shared" si="1"/>
        <v>21751</v>
      </c>
      <c r="I48" t="s">
        <v>91</v>
      </c>
      <c r="J48">
        <v>0</v>
      </c>
    </row>
    <row r="49" spans="1:10" x14ac:dyDescent="0.25">
      <c r="A49" s="8">
        <v>1611558</v>
      </c>
      <c r="B49" t="s">
        <v>91</v>
      </c>
      <c r="C49" s="6">
        <v>46150</v>
      </c>
      <c r="D49" s="1">
        <v>46242</v>
      </c>
      <c r="E49" s="2">
        <v>46334</v>
      </c>
      <c r="F49">
        <v>20701</v>
      </c>
      <c r="G49">
        <v>0</v>
      </c>
      <c r="H49">
        <f t="shared" si="1"/>
        <v>20701</v>
      </c>
      <c r="I49" t="s">
        <v>91</v>
      </c>
      <c r="J49">
        <v>0</v>
      </c>
    </row>
    <row r="50" spans="1:10" x14ac:dyDescent="0.25">
      <c r="A50" s="8">
        <v>1611713</v>
      </c>
      <c r="B50" t="s">
        <v>92</v>
      </c>
      <c r="C50" s="6">
        <v>46150</v>
      </c>
      <c r="D50" s="1">
        <v>46242</v>
      </c>
      <c r="E50" s="2">
        <v>46334</v>
      </c>
      <c r="F50">
        <v>39546</v>
      </c>
      <c r="G50">
        <v>0</v>
      </c>
      <c r="H50">
        <f t="shared" si="1"/>
        <v>39546</v>
      </c>
      <c r="I50" t="s">
        <v>91</v>
      </c>
      <c r="J50">
        <v>0</v>
      </c>
    </row>
    <row r="51" spans="1:10" x14ac:dyDescent="0.25">
      <c r="A51" s="8">
        <v>1606265</v>
      </c>
      <c r="B51" t="s">
        <v>93</v>
      </c>
      <c r="C51" s="6" t="s">
        <v>94</v>
      </c>
      <c r="D51" s="1">
        <v>46303</v>
      </c>
      <c r="E51" s="2">
        <v>46364</v>
      </c>
      <c r="F51">
        <v>7550</v>
      </c>
      <c r="G51">
        <v>0</v>
      </c>
      <c r="H51">
        <f t="shared" si="1"/>
        <v>7550</v>
      </c>
      <c r="I51" t="s">
        <v>6</v>
      </c>
      <c r="J51">
        <f>SUM(J2:J50)</f>
        <v>709550</v>
      </c>
    </row>
    <row r="52" spans="1:10" x14ac:dyDescent="0.25">
      <c r="A52" s="8">
        <v>1602642</v>
      </c>
      <c r="B52" t="s">
        <v>95</v>
      </c>
      <c r="C52" s="6">
        <v>46242</v>
      </c>
      <c r="D52" s="1">
        <v>46303</v>
      </c>
      <c r="E52" s="2">
        <v>46364</v>
      </c>
      <c r="F52">
        <v>157495</v>
      </c>
      <c r="G52">
        <v>0</v>
      </c>
      <c r="H52">
        <f t="shared" si="1"/>
        <v>157495</v>
      </c>
      <c r="I52" t="s">
        <v>41</v>
      </c>
    </row>
    <row r="53" spans="1:10" x14ac:dyDescent="0.25">
      <c r="A53" s="8">
        <v>1611614</v>
      </c>
      <c r="B53" t="s">
        <v>96</v>
      </c>
      <c r="C53" s="6">
        <v>46061</v>
      </c>
      <c r="D53" s="1">
        <v>46303</v>
      </c>
      <c r="E53" s="2">
        <v>46364</v>
      </c>
      <c r="F53">
        <v>38096</v>
      </c>
      <c r="G53">
        <v>0</v>
      </c>
      <c r="H53">
        <f t="shared" si="1"/>
        <v>38096</v>
      </c>
      <c r="I53" t="s">
        <v>51</v>
      </c>
    </row>
    <row r="54" spans="1:10" x14ac:dyDescent="0.25">
      <c r="A54" s="8">
        <v>1611779</v>
      </c>
      <c r="B54" t="s">
        <v>97</v>
      </c>
      <c r="C54" s="6">
        <v>46242</v>
      </c>
      <c r="D54" s="1">
        <v>46303</v>
      </c>
      <c r="E54" s="2">
        <v>46364</v>
      </c>
      <c r="F54">
        <v>51774</v>
      </c>
      <c r="G54">
        <v>0</v>
      </c>
      <c r="H54">
        <f t="shared" si="1"/>
        <v>51774</v>
      </c>
      <c r="I54" t="s">
        <v>23</v>
      </c>
    </row>
    <row r="55" spans="1:10" x14ac:dyDescent="0.25">
      <c r="A55" s="8">
        <v>1602389</v>
      </c>
      <c r="B55" t="s">
        <v>98</v>
      </c>
      <c r="C55" s="6">
        <v>46061</v>
      </c>
      <c r="D55" s="1">
        <v>46303</v>
      </c>
      <c r="E55" s="2">
        <v>46364</v>
      </c>
      <c r="F55">
        <v>67456</v>
      </c>
      <c r="G55">
        <v>0</v>
      </c>
      <c r="H55">
        <f t="shared" si="1"/>
        <v>67456</v>
      </c>
      <c r="I55" t="s">
        <v>39</v>
      </c>
    </row>
    <row r="56" spans="1:10" x14ac:dyDescent="0.25">
      <c r="A56" s="8">
        <v>1611715</v>
      </c>
      <c r="B56" t="s">
        <v>99</v>
      </c>
      <c r="C56" s="6">
        <v>46150</v>
      </c>
      <c r="D56" s="1">
        <v>46303</v>
      </c>
      <c r="E56" s="2">
        <v>46364</v>
      </c>
      <c r="F56">
        <v>10950</v>
      </c>
      <c r="G56">
        <v>0</v>
      </c>
      <c r="H56">
        <f t="shared" ref="H56:H77" si="2">F56-G56</f>
        <v>10950</v>
      </c>
      <c r="I56" t="s">
        <v>100</v>
      </c>
    </row>
    <row r="57" spans="1:10" x14ac:dyDescent="0.25">
      <c r="A57" s="8">
        <v>1602017</v>
      </c>
      <c r="B57" t="s">
        <v>101</v>
      </c>
      <c r="C57" s="6">
        <v>46061</v>
      </c>
      <c r="D57" s="1">
        <v>46303</v>
      </c>
      <c r="E57" s="2">
        <v>46364</v>
      </c>
      <c r="F57">
        <v>148384</v>
      </c>
      <c r="G57">
        <v>0</v>
      </c>
      <c r="H57">
        <f t="shared" si="2"/>
        <v>148384</v>
      </c>
      <c r="I57" t="s">
        <v>39</v>
      </c>
    </row>
    <row r="58" spans="1:10" x14ac:dyDescent="0.25">
      <c r="A58" s="8">
        <v>1602605</v>
      </c>
      <c r="B58" t="s">
        <v>102</v>
      </c>
      <c r="C58" s="6">
        <v>46211</v>
      </c>
      <c r="D58" s="1">
        <v>46303</v>
      </c>
      <c r="E58" s="2">
        <v>46364</v>
      </c>
      <c r="F58">
        <v>78992</v>
      </c>
      <c r="G58">
        <v>0</v>
      </c>
      <c r="H58">
        <f t="shared" si="2"/>
        <v>78992</v>
      </c>
      <c r="I58" t="s">
        <v>41</v>
      </c>
    </row>
    <row r="59" spans="1:10" x14ac:dyDescent="0.25">
      <c r="A59" s="8">
        <v>1004606</v>
      </c>
      <c r="B59" t="s">
        <v>103</v>
      </c>
      <c r="C59" s="6">
        <v>46242</v>
      </c>
      <c r="D59" s="1">
        <v>46303</v>
      </c>
      <c r="E59" s="2">
        <v>46364</v>
      </c>
      <c r="F59">
        <v>78747</v>
      </c>
      <c r="G59">
        <v>0</v>
      </c>
      <c r="H59">
        <f t="shared" si="2"/>
        <v>78747</v>
      </c>
      <c r="I59" t="s">
        <v>41</v>
      </c>
    </row>
    <row r="60" spans="1:10" x14ac:dyDescent="0.25">
      <c r="A60" s="8">
        <v>1602566</v>
      </c>
      <c r="B60" t="s">
        <v>104</v>
      </c>
      <c r="C60" s="6">
        <v>46211</v>
      </c>
      <c r="D60" s="1">
        <v>46303</v>
      </c>
      <c r="E60" s="2">
        <v>46364</v>
      </c>
      <c r="F60">
        <v>79347</v>
      </c>
      <c r="G60">
        <v>0</v>
      </c>
      <c r="H60">
        <f t="shared" si="2"/>
        <v>79347</v>
      </c>
      <c r="I60" t="s">
        <v>41</v>
      </c>
    </row>
    <row r="61" spans="1:10" x14ac:dyDescent="0.25">
      <c r="A61" s="8">
        <v>1602585</v>
      </c>
      <c r="B61" t="s">
        <v>105</v>
      </c>
      <c r="C61" s="6">
        <v>46242</v>
      </c>
      <c r="D61" s="1">
        <v>46303</v>
      </c>
      <c r="E61" s="2">
        <v>46364</v>
      </c>
      <c r="F61">
        <v>133713</v>
      </c>
      <c r="G61">
        <v>0</v>
      </c>
      <c r="H61">
        <f t="shared" si="2"/>
        <v>133713</v>
      </c>
      <c r="I61" t="s">
        <v>41</v>
      </c>
    </row>
    <row r="62" spans="1:10" x14ac:dyDescent="0.25">
      <c r="A62" s="8">
        <v>1604606</v>
      </c>
      <c r="B62" t="s">
        <v>106</v>
      </c>
      <c r="C62" s="6">
        <v>46242</v>
      </c>
      <c r="D62" s="1">
        <v>46303</v>
      </c>
      <c r="E62" s="2">
        <v>46364</v>
      </c>
      <c r="F62">
        <v>318590</v>
      </c>
      <c r="G62">
        <v>0</v>
      </c>
      <c r="H62">
        <f t="shared" si="2"/>
        <v>318590</v>
      </c>
      <c r="I62" t="s">
        <v>41</v>
      </c>
    </row>
    <row r="63" spans="1:10" x14ac:dyDescent="0.25">
      <c r="A63" s="8">
        <v>1610570</v>
      </c>
      <c r="B63" t="s">
        <v>107</v>
      </c>
      <c r="C63" s="6">
        <v>46181</v>
      </c>
      <c r="D63" s="1">
        <v>46303</v>
      </c>
      <c r="E63" s="2">
        <v>46364</v>
      </c>
      <c r="F63">
        <v>75819</v>
      </c>
      <c r="G63">
        <v>0</v>
      </c>
      <c r="H63">
        <f t="shared" si="2"/>
        <v>75819</v>
      </c>
      <c r="I63" t="s">
        <v>41</v>
      </c>
    </row>
    <row r="64" spans="1:10" x14ac:dyDescent="0.25">
      <c r="A64" s="8">
        <v>1611771</v>
      </c>
      <c r="B64" t="s">
        <v>108</v>
      </c>
      <c r="C64" s="6">
        <v>46211</v>
      </c>
      <c r="D64" s="1">
        <v>46303</v>
      </c>
      <c r="E64" s="2">
        <v>46364</v>
      </c>
      <c r="F64">
        <v>37101</v>
      </c>
      <c r="G64">
        <v>0</v>
      </c>
      <c r="H64">
        <f t="shared" si="2"/>
        <v>37101</v>
      </c>
      <c r="I64" t="s">
        <v>41</v>
      </c>
    </row>
    <row r="65" spans="1:9" x14ac:dyDescent="0.25">
      <c r="A65" s="8">
        <v>1602586</v>
      </c>
      <c r="B65" t="s">
        <v>109</v>
      </c>
      <c r="C65" s="6">
        <v>46211</v>
      </c>
      <c r="D65" s="1">
        <v>46303</v>
      </c>
      <c r="E65" s="2">
        <v>46364</v>
      </c>
      <c r="F65">
        <v>52002</v>
      </c>
      <c r="G65">
        <v>0</v>
      </c>
      <c r="H65">
        <f t="shared" si="2"/>
        <v>52002</v>
      </c>
      <c r="I65" t="s">
        <v>41</v>
      </c>
    </row>
    <row r="66" spans="1:9" x14ac:dyDescent="0.25">
      <c r="A66" s="8">
        <v>1611714</v>
      </c>
      <c r="B66" t="s">
        <v>110</v>
      </c>
      <c r="C66" s="6">
        <v>46150</v>
      </c>
      <c r="D66" s="1">
        <v>46303</v>
      </c>
      <c r="E66" s="2">
        <v>46364</v>
      </c>
      <c r="F66">
        <v>39373</v>
      </c>
      <c r="G66">
        <v>0</v>
      </c>
      <c r="H66">
        <f t="shared" si="2"/>
        <v>39373</v>
      </c>
      <c r="I66" t="s">
        <v>100</v>
      </c>
    </row>
    <row r="67" spans="1:9" x14ac:dyDescent="0.25">
      <c r="A67" s="8">
        <v>1002821</v>
      </c>
      <c r="B67" t="s">
        <v>111</v>
      </c>
      <c r="C67" s="6">
        <v>46061</v>
      </c>
      <c r="D67" s="1">
        <v>46303</v>
      </c>
      <c r="E67" s="2">
        <v>46364</v>
      </c>
      <c r="F67">
        <v>398738</v>
      </c>
      <c r="G67">
        <v>50000</v>
      </c>
      <c r="H67">
        <f t="shared" si="2"/>
        <v>348738</v>
      </c>
      <c r="I67" t="s">
        <v>112</v>
      </c>
    </row>
    <row r="68" spans="1:9" x14ac:dyDescent="0.25">
      <c r="A68" s="8">
        <v>1602551</v>
      </c>
      <c r="B68" t="s">
        <v>113</v>
      </c>
      <c r="C68" s="6" t="s">
        <v>21</v>
      </c>
      <c r="D68" s="1">
        <v>46303</v>
      </c>
      <c r="E68" s="2">
        <v>46364</v>
      </c>
      <c r="F68">
        <v>138713</v>
      </c>
      <c r="G68">
        <v>0</v>
      </c>
      <c r="H68">
        <f t="shared" si="2"/>
        <v>138713</v>
      </c>
      <c r="I68" t="s">
        <v>11</v>
      </c>
    </row>
    <row r="69" spans="1:9" x14ac:dyDescent="0.25">
      <c r="A69" s="8">
        <v>1611798</v>
      </c>
      <c r="B69" t="s">
        <v>114</v>
      </c>
      <c r="C69" s="6">
        <v>46242</v>
      </c>
      <c r="D69" s="1">
        <v>46303</v>
      </c>
      <c r="E69" s="2">
        <v>46364</v>
      </c>
      <c r="F69">
        <v>17578</v>
      </c>
      <c r="G69">
        <v>0</v>
      </c>
      <c r="H69">
        <f t="shared" si="2"/>
        <v>17578</v>
      </c>
      <c r="I69" t="s">
        <v>115</v>
      </c>
    </row>
    <row r="70" spans="1:9" x14ac:dyDescent="0.25">
      <c r="A70" s="8">
        <v>1611699</v>
      </c>
      <c r="B70" t="s">
        <v>116</v>
      </c>
      <c r="C70" s="6">
        <v>46150</v>
      </c>
      <c r="D70" s="1">
        <v>46303</v>
      </c>
      <c r="E70" s="2">
        <v>46364</v>
      </c>
      <c r="F70">
        <v>60218</v>
      </c>
      <c r="G70">
        <v>0</v>
      </c>
      <c r="H70">
        <f t="shared" si="2"/>
        <v>60218</v>
      </c>
      <c r="I70" t="s">
        <v>115</v>
      </c>
    </row>
    <row r="71" spans="1:9" x14ac:dyDescent="0.25">
      <c r="A71" s="8">
        <v>1602363</v>
      </c>
      <c r="B71" t="s">
        <v>117</v>
      </c>
      <c r="C71" s="6">
        <v>46211</v>
      </c>
      <c r="D71" s="1">
        <v>46303</v>
      </c>
      <c r="E71" s="2">
        <v>46364</v>
      </c>
      <c r="F71">
        <v>238343</v>
      </c>
      <c r="G71">
        <v>0</v>
      </c>
      <c r="H71">
        <f t="shared" si="2"/>
        <v>238343</v>
      </c>
      <c r="I71" t="s">
        <v>10</v>
      </c>
    </row>
    <row r="72" spans="1:9" x14ac:dyDescent="0.25">
      <c r="A72" s="8">
        <v>1611731</v>
      </c>
      <c r="B72" t="s">
        <v>118</v>
      </c>
      <c r="C72" s="6">
        <v>46181</v>
      </c>
      <c r="D72" s="1">
        <v>46303</v>
      </c>
      <c r="E72" s="2">
        <v>46364</v>
      </c>
      <c r="F72">
        <v>390305</v>
      </c>
      <c r="G72">
        <v>0</v>
      </c>
      <c r="H72">
        <f t="shared" si="2"/>
        <v>390305</v>
      </c>
      <c r="I72" t="s">
        <v>15</v>
      </c>
    </row>
    <row r="73" spans="1:9" x14ac:dyDescent="0.25">
      <c r="A73" s="8">
        <v>1611664</v>
      </c>
      <c r="B73" t="s">
        <v>120</v>
      </c>
      <c r="C73" s="6">
        <v>46061</v>
      </c>
      <c r="D73" s="1">
        <v>46334</v>
      </c>
      <c r="E73" s="2" t="s">
        <v>121</v>
      </c>
      <c r="F73">
        <v>296921</v>
      </c>
      <c r="G73">
        <v>50000</v>
      </c>
      <c r="H73">
        <f t="shared" si="2"/>
        <v>246921</v>
      </c>
      <c r="I73" t="s">
        <v>122</v>
      </c>
    </row>
    <row r="74" spans="1:9" x14ac:dyDescent="0.25">
      <c r="A74" s="8">
        <v>1602402</v>
      </c>
      <c r="B74" t="s">
        <v>123</v>
      </c>
      <c r="C74" s="6">
        <v>46030</v>
      </c>
      <c r="D74" s="1">
        <v>46334</v>
      </c>
      <c r="E74" s="2" t="s">
        <v>121</v>
      </c>
      <c r="F74">
        <v>39589</v>
      </c>
      <c r="G74">
        <v>0</v>
      </c>
      <c r="H74">
        <f t="shared" si="2"/>
        <v>39589</v>
      </c>
      <c r="I74" t="s">
        <v>32</v>
      </c>
    </row>
    <row r="75" spans="1:9" x14ac:dyDescent="0.25">
      <c r="A75" s="8">
        <v>1611813</v>
      </c>
      <c r="B75" t="s">
        <v>124</v>
      </c>
      <c r="C75" s="6">
        <v>46273</v>
      </c>
      <c r="D75" s="1">
        <v>46334</v>
      </c>
      <c r="E75" s="2" t="s">
        <v>121</v>
      </c>
      <c r="F75">
        <v>75592</v>
      </c>
      <c r="G75">
        <v>0</v>
      </c>
      <c r="H75">
        <f t="shared" si="2"/>
        <v>75592</v>
      </c>
      <c r="I75" t="s">
        <v>39</v>
      </c>
    </row>
    <row r="76" spans="1:9" x14ac:dyDescent="0.25">
      <c r="A76" s="8">
        <v>1606630</v>
      </c>
      <c r="B76" t="s">
        <v>125</v>
      </c>
      <c r="C76" s="6">
        <v>46242</v>
      </c>
      <c r="D76" s="1">
        <v>46334</v>
      </c>
      <c r="E76" s="2" t="s">
        <v>121</v>
      </c>
      <c r="F76">
        <v>110000</v>
      </c>
      <c r="G76">
        <v>0</v>
      </c>
      <c r="H76">
        <f t="shared" si="2"/>
        <v>110000</v>
      </c>
      <c r="I76" t="s">
        <v>85</v>
      </c>
    </row>
    <row r="77" spans="1:9" x14ac:dyDescent="0.25">
      <c r="A77" s="8">
        <v>1611667</v>
      </c>
      <c r="B77" t="s">
        <v>126</v>
      </c>
      <c r="C77" s="6">
        <v>46061</v>
      </c>
      <c r="D77" s="1">
        <v>46334</v>
      </c>
      <c r="E77" s="2" t="s">
        <v>121</v>
      </c>
      <c r="F77">
        <v>48838</v>
      </c>
      <c r="G77">
        <v>0</v>
      </c>
      <c r="H77">
        <f t="shared" si="2"/>
        <v>48838</v>
      </c>
      <c r="I77" t="s">
        <v>127</v>
      </c>
    </row>
    <row r="78" spans="1:9" x14ac:dyDescent="0.25">
      <c r="A78" s="8">
        <v>1611797</v>
      </c>
      <c r="B78" t="s">
        <v>128</v>
      </c>
      <c r="C78" s="6">
        <v>46242</v>
      </c>
      <c r="D78" s="1">
        <v>46334</v>
      </c>
      <c r="E78" s="2" t="s">
        <v>121</v>
      </c>
      <c r="F78">
        <v>77347</v>
      </c>
      <c r="G78">
        <v>0</v>
      </c>
      <c r="H78">
        <f t="shared" ref="H78:H106" si="3">F78-G78</f>
        <v>77347</v>
      </c>
      <c r="I78" t="s">
        <v>4</v>
      </c>
    </row>
    <row r="79" spans="1:9" x14ac:dyDescent="0.25">
      <c r="A79" s="8">
        <v>1610014</v>
      </c>
      <c r="B79" t="s">
        <v>129</v>
      </c>
      <c r="C79" s="6" t="s">
        <v>130</v>
      </c>
      <c r="D79" s="1">
        <v>46334</v>
      </c>
      <c r="E79" s="2" t="s">
        <v>121</v>
      </c>
      <c r="F79">
        <v>17867</v>
      </c>
      <c r="G79">
        <v>0</v>
      </c>
      <c r="H79">
        <f t="shared" si="3"/>
        <v>17867</v>
      </c>
      <c r="I79" t="s">
        <v>23</v>
      </c>
    </row>
    <row r="80" spans="1:9" x14ac:dyDescent="0.25">
      <c r="A80" s="8">
        <v>1602505</v>
      </c>
      <c r="B80" t="s">
        <v>131</v>
      </c>
      <c r="C80" s="6">
        <v>46089</v>
      </c>
      <c r="D80" s="1">
        <v>46334</v>
      </c>
      <c r="E80" s="2" t="s">
        <v>121</v>
      </c>
      <c r="F80">
        <v>234443</v>
      </c>
      <c r="G80">
        <v>0</v>
      </c>
      <c r="H80">
        <f t="shared" si="3"/>
        <v>234443</v>
      </c>
      <c r="I80" t="s">
        <v>11</v>
      </c>
    </row>
    <row r="81" spans="1:9" x14ac:dyDescent="0.25">
      <c r="A81" s="8">
        <v>1611821</v>
      </c>
      <c r="B81" t="s">
        <v>132</v>
      </c>
      <c r="C81" s="6">
        <v>46303</v>
      </c>
      <c r="D81" s="1">
        <v>46334</v>
      </c>
      <c r="E81" s="2" t="s">
        <v>121</v>
      </c>
      <c r="F81">
        <v>10000</v>
      </c>
      <c r="G81">
        <v>0</v>
      </c>
      <c r="H81">
        <f t="shared" si="3"/>
        <v>10000</v>
      </c>
      <c r="I81" t="s">
        <v>133</v>
      </c>
    </row>
    <row r="82" spans="1:9" x14ac:dyDescent="0.25">
      <c r="A82" s="8">
        <v>1602933</v>
      </c>
      <c r="B82" t="s">
        <v>134</v>
      </c>
      <c r="C82" s="6">
        <v>46181</v>
      </c>
      <c r="D82" s="1">
        <v>46334</v>
      </c>
      <c r="E82" s="2" t="s">
        <v>121</v>
      </c>
      <c r="F82">
        <v>36000</v>
      </c>
      <c r="G82">
        <v>0</v>
      </c>
      <c r="H82">
        <f t="shared" si="3"/>
        <v>36000</v>
      </c>
      <c r="I82" t="s">
        <v>9</v>
      </c>
    </row>
    <row r="83" spans="1:9" x14ac:dyDescent="0.25">
      <c r="A83" s="8">
        <v>1602582</v>
      </c>
      <c r="B83" t="s">
        <v>135</v>
      </c>
      <c r="C83" s="6">
        <v>46181</v>
      </c>
      <c r="D83" s="1">
        <v>46334</v>
      </c>
      <c r="E83" s="2" t="s">
        <v>121</v>
      </c>
      <c r="F83">
        <v>4550</v>
      </c>
      <c r="G83">
        <v>0</v>
      </c>
      <c r="H83">
        <f t="shared" si="3"/>
        <v>4550</v>
      </c>
      <c r="I83" t="s">
        <v>9</v>
      </c>
    </row>
    <row r="84" spans="1:9" x14ac:dyDescent="0.25">
      <c r="A84" s="8">
        <v>1602343</v>
      </c>
      <c r="B84" t="s">
        <v>22</v>
      </c>
      <c r="C84" s="6">
        <v>46242</v>
      </c>
      <c r="D84" s="1">
        <v>46334</v>
      </c>
      <c r="E84" s="2" t="s">
        <v>121</v>
      </c>
      <c r="F84">
        <v>20000</v>
      </c>
      <c r="G84">
        <v>0</v>
      </c>
      <c r="H84">
        <f t="shared" si="3"/>
        <v>20000</v>
      </c>
      <c r="I84" t="s">
        <v>22</v>
      </c>
    </row>
    <row r="85" spans="1:9" x14ac:dyDescent="0.25">
      <c r="A85" s="8">
        <v>1602678</v>
      </c>
      <c r="B85" t="s">
        <v>136</v>
      </c>
      <c r="C85" s="6">
        <v>46303</v>
      </c>
      <c r="D85" s="1">
        <v>46364</v>
      </c>
      <c r="E85" s="2" t="s">
        <v>137</v>
      </c>
      <c r="F85">
        <v>28600</v>
      </c>
      <c r="G85">
        <v>0</v>
      </c>
      <c r="H85">
        <f t="shared" si="3"/>
        <v>28600</v>
      </c>
      <c r="I85" t="s">
        <v>39</v>
      </c>
    </row>
    <row r="86" spans="1:9" x14ac:dyDescent="0.25">
      <c r="A86" s="8">
        <v>1611790</v>
      </c>
      <c r="B86" t="s">
        <v>138</v>
      </c>
      <c r="C86" s="6">
        <v>46242</v>
      </c>
      <c r="D86" s="1">
        <v>46364</v>
      </c>
      <c r="E86" s="2" t="s">
        <v>137</v>
      </c>
      <c r="F86">
        <v>63376</v>
      </c>
      <c r="G86">
        <v>0</v>
      </c>
      <c r="H86">
        <f t="shared" si="3"/>
        <v>63376</v>
      </c>
      <c r="I86" t="s">
        <v>139</v>
      </c>
    </row>
    <row r="87" spans="1:9" x14ac:dyDescent="0.25">
      <c r="A87" s="8">
        <v>1602468</v>
      </c>
      <c r="B87" t="s">
        <v>140</v>
      </c>
      <c r="C87" s="6">
        <v>46273</v>
      </c>
      <c r="D87" s="1">
        <v>46364</v>
      </c>
      <c r="E87" s="2" t="s">
        <v>137</v>
      </c>
      <c r="F87">
        <v>63376</v>
      </c>
      <c r="G87">
        <v>0</v>
      </c>
      <c r="H87">
        <f t="shared" si="3"/>
        <v>63376</v>
      </c>
      <c r="I87" t="s">
        <v>39</v>
      </c>
    </row>
    <row r="88" spans="1:9" x14ac:dyDescent="0.25">
      <c r="A88" s="8">
        <v>1611846</v>
      </c>
      <c r="B88" t="s">
        <v>141</v>
      </c>
      <c r="C88" s="6">
        <v>46364</v>
      </c>
      <c r="D88" s="1" t="s">
        <v>142</v>
      </c>
      <c r="E88" s="2" t="s">
        <v>142</v>
      </c>
      <c r="F88">
        <v>39373</v>
      </c>
      <c r="G88">
        <v>0</v>
      </c>
      <c r="H88">
        <f t="shared" si="3"/>
        <v>39373</v>
      </c>
      <c r="I88" t="s">
        <v>33</v>
      </c>
    </row>
    <row r="89" spans="1:9" x14ac:dyDescent="0.25">
      <c r="A89" s="8">
        <v>1611732</v>
      </c>
      <c r="B89" t="s">
        <v>143</v>
      </c>
      <c r="C89" s="6" t="s">
        <v>144</v>
      </c>
      <c r="D89" s="1" t="s">
        <v>121</v>
      </c>
      <c r="E89" s="2" t="s">
        <v>142</v>
      </c>
      <c r="F89">
        <v>9000</v>
      </c>
      <c r="G89">
        <v>0</v>
      </c>
      <c r="H89">
        <f t="shared" si="3"/>
        <v>9000</v>
      </c>
      <c r="I89" t="s">
        <v>145</v>
      </c>
    </row>
    <row r="90" spans="1:9" x14ac:dyDescent="0.25">
      <c r="A90" s="8">
        <v>1611736</v>
      </c>
      <c r="B90" t="s">
        <v>146</v>
      </c>
      <c r="C90" s="6">
        <v>46181</v>
      </c>
      <c r="D90" s="1" t="s">
        <v>121</v>
      </c>
      <c r="E90" s="2" t="s">
        <v>142</v>
      </c>
      <c r="F90">
        <v>124438</v>
      </c>
      <c r="G90">
        <v>0</v>
      </c>
      <c r="H90">
        <f t="shared" si="3"/>
        <v>124438</v>
      </c>
      <c r="I90" t="s">
        <v>147</v>
      </c>
    </row>
    <row r="91" spans="1:9" x14ac:dyDescent="0.25">
      <c r="A91" s="8">
        <v>1003773</v>
      </c>
      <c r="B91" t="s">
        <v>148</v>
      </c>
      <c r="C91" s="6">
        <v>46211</v>
      </c>
      <c r="D91" s="1" t="s">
        <v>121</v>
      </c>
      <c r="E91" s="2" t="s">
        <v>142</v>
      </c>
      <c r="F91">
        <v>79447</v>
      </c>
      <c r="G91">
        <v>0</v>
      </c>
      <c r="H91">
        <f t="shared" si="3"/>
        <v>79447</v>
      </c>
      <c r="I91" t="s">
        <v>149</v>
      </c>
    </row>
    <row r="92" spans="1:9" x14ac:dyDescent="0.25">
      <c r="A92" s="8">
        <v>1610798</v>
      </c>
      <c r="B92" t="s">
        <v>150</v>
      </c>
      <c r="C92" s="6" t="s">
        <v>151</v>
      </c>
      <c r="D92" s="1" t="s">
        <v>121</v>
      </c>
      <c r="E92" s="2" t="s">
        <v>142</v>
      </c>
      <c r="F92">
        <v>12600</v>
      </c>
      <c r="G92">
        <v>0</v>
      </c>
      <c r="H92">
        <f t="shared" si="3"/>
        <v>12600</v>
      </c>
      <c r="I92" t="s">
        <v>23</v>
      </c>
    </row>
    <row r="93" spans="1:9" x14ac:dyDescent="0.25">
      <c r="A93" s="8">
        <v>1602607</v>
      </c>
      <c r="B93" t="s">
        <v>152</v>
      </c>
      <c r="C93" s="6">
        <v>46242</v>
      </c>
      <c r="D93" s="1" t="s">
        <v>121</v>
      </c>
      <c r="E93" s="2" t="s">
        <v>142</v>
      </c>
      <c r="F93">
        <v>63984</v>
      </c>
      <c r="G93">
        <v>0</v>
      </c>
      <c r="H93">
        <f t="shared" si="3"/>
        <v>63984</v>
      </c>
      <c r="I93" t="s">
        <v>153</v>
      </c>
    </row>
    <row r="94" spans="1:9" x14ac:dyDescent="0.25">
      <c r="A94" s="8">
        <v>1602369</v>
      </c>
      <c r="B94" t="s">
        <v>154</v>
      </c>
      <c r="C94" s="6">
        <v>46364</v>
      </c>
      <c r="D94" s="1" t="s">
        <v>121</v>
      </c>
      <c r="E94" s="2" t="s">
        <v>142</v>
      </c>
      <c r="F94">
        <v>236243</v>
      </c>
      <c r="G94">
        <v>0</v>
      </c>
      <c r="H94">
        <f t="shared" si="3"/>
        <v>236243</v>
      </c>
      <c r="I94" t="s">
        <v>155</v>
      </c>
    </row>
    <row r="95" spans="1:9" x14ac:dyDescent="0.25">
      <c r="A95" s="8">
        <v>1000675</v>
      </c>
      <c r="B95" t="s">
        <v>156</v>
      </c>
      <c r="C95" s="6" t="s">
        <v>157</v>
      </c>
      <c r="D95" s="1" t="s">
        <v>121</v>
      </c>
      <c r="E95" s="2" t="s">
        <v>142</v>
      </c>
      <c r="F95">
        <v>9000</v>
      </c>
      <c r="G95">
        <v>0</v>
      </c>
      <c r="H95">
        <f t="shared" si="3"/>
        <v>9000</v>
      </c>
      <c r="I95" t="s">
        <v>158</v>
      </c>
    </row>
    <row r="96" spans="1:9" x14ac:dyDescent="0.25">
      <c r="A96" s="8">
        <v>1611829</v>
      </c>
      <c r="B96" t="s">
        <v>159</v>
      </c>
      <c r="C96" s="6">
        <v>46364</v>
      </c>
      <c r="D96" s="1" t="s">
        <v>121</v>
      </c>
      <c r="E96" s="2" t="s">
        <v>142</v>
      </c>
      <c r="F96">
        <v>131246</v>
      </c>
      <c r="G96">
        <v>0</v>
      </c>
      <c r="H96">
        <f t="shared" si="3"/>
        <v>131246</v>
      </c>
      <c r="I96" t="s">
        <v>35</v>
      </c>
    </row>
    <row r="97" spans="1:9" x14ac:dyDescent="0.25">
      <c r="A97" s="8">
        <v>1611776</v>
      </c>
      <c r="B97" t="s">
        <v>160</v>
      </c>
      <c r="C97" s="6">
        <v>46364</v>
      </c>
      <c r="D97" s="1" t="s">
        <v>137</v>
      </c>
      <c r="E97" s="2" t="s">
        <v>142</v>
      </c>
      <c r="F97">
        <v>34628</v>
      </c>
      <c r="G97">
        <v>0</v>
      </c>
      <c r="H97">
        <f t="shared" si="3"/>
        <v>34628</v>
      </c>
      <c r="I97" t="s">
        <v>155</v>
      </c>
    </row>
    <row r="98" spans="1:9" x14ac:dyDescent="0.25">
      <c r="A98" s="8">
        <v>1611814</v>
      </c>
      <c r="B98" t="s">
        <v>161</v>
      </c>
      <c r="C98" s="6">
        <v>46273</v>
      </c>
      <c r="D98" s="1" t="s">
        <v>137</v>
      </c>
      <c r="E98" s="2" t="s">
        <v>142</v>
      </c>
      <c r="F98">
        <v>37099</v>
      </c>
      <c r="G98">
        <v>0</v>
      </c>
      <c r="H98">
        <f t="shared" si="3"/>
        <v>37099</v>
      </c>
      <c r="I98" t="s">
        <v>162</v>
      </c>
    </row>
    <row r="99" spans="1:9" x14ac:dyDescent="0.25">
      <c r="A99" s="8">
        <v>1611843</v>
      </c>
      <c r="B99" t="s">
        <v>163</v>
      </c>
      <c r="C99" s="6">
        <v>46364</v>
      </c>
      <c r="D99" s="1" t="s">
        <v>137</v>
      </c>
      <c r="E99" s="2" t="s">
        <v>142</v>
      </c>
      <c r="F99">
        <v>145322</v>
      </c>
      <c r="G99">
        <v>0</v>
      </c>
      <c r="H99">
        <f t="shared" si="3"/>
        <v>145322</v>
      </c>
      <c r="I99" t="s">
        <v>7</v>
      </c>
    </row>
    <row r="100" spans="1:9" x14ac:dyDescent="0.25">
      <c r="A100" s="8">
        <v>1611733</v>
      </c>
      <c r="B100" t="s">
        <v>164</v>
      </c>
      <c r="C100" s="6">
        <v>46181</v>
      </c>
      <c r="D100" s="1" t="s">
        <v>137</v>
      </c>
      <c r="E100" s="2" t="s">
        <v>142</v>
      </c>
      <c r="F100">
        <v>39673</v>
      </c>
      <c r="G100">
        <v>0</v>
      </c>
      <c r="H100">
        <f t="shared" si="3"/>
        <v>39673</v>
      </c>
      <c r="I100" t="s">
        <v>165</v>
      </c>
    </row>
    <row r="101" spans="1:9" x14ac:dyDescent="0.25">
      <c r="A101" s="8">
        <v>1602989</v>
      </c>
      <c r="B101" t="s">
        <v>166</v>
      </c>
      <c r="C101" s="6">
        <v>46242</v>
      </c>
      <c r="D101" s="1" t="s">
        <v>137</v>
      </c>
      <c r="E101" s="2" t="s">
        <v>142</v>
      </c>
      <c r="F101">
        <v>77547</v>
      </c>
      <c r="G101">
        <v>0</v>
      </c>
      <c r="H101">
        <f t="shared" si="3"/>
        <v>77547</v>
      </c>
      <c r="I101" t="s">
        <v>127</v>
      </c>
    </row>
    <row r="102" spans="1:9" x14ac:dyDescent="0.25">
      <c r="A102" s="8">
        <v>1602534</v>
      </c>
      <c r="B102" t="s">
        <v>167</v>
      </c>
      <c r="C102" s="6">
        <v>46149</v>
      </c>
      <c r="D102" s="1" t="s">
        <v>168</v>
      </c>
      <c r="E102" s="2" t="s">
        <v>142</v>
      </c>
      <c r="F102">
        <v>10300</v>
      </c>
      <c r="G102">
        <v>0</v>
      </c>
      <c r="H102">
        <f t="shared" si="3"/>
        <v>10300</v>
      </c>
      <c r="I102" t="s">
        <v>43</v>
      </c>
    </row>
    <row r="103" spans="1:9" x14ac:dyDescent="0.25">
      <c r="A103" s="8">
        <v>1611844</v>
      </c>
      <c r="B103" t="s">
        <v>169</v>
      </c>
      <c r="C103" s="6">
        <v>46364</v>
      </c>
      <c r="D103" s="1" t="s">
        <v>168</v>
      </c>
      <c r="E103" s="2" t="s">
        <v>142</v>
      </c>
      <c r="F103">
        <v>74602</v>
      </c>
      <c r="G103">
        <v>0</v>
      </c>
      <c r="H103">
        <f t="shared" si="3"/>
        <v>74602</v>
      </c>
      <c r="I103" t="s">
        <v>170</v>
      </c>
    </row>
    <row r="104" spans="1:9" x14ac:dyDescent="0.25">
      <c r="A104" s="8">
        <v>1600627</v>
      </c>
      <c r="B104" t="s">
        <v>72</v>
      </c>
      <c r="C104" s="6" t="s">
        <v>121</v>
      </c>
      <c r="D104" s="1" t="s">
        <v>168</v>
      </c>
      <c r="E104" s="2" t="s">
        <v>142</v>
      </c>
      <c r="F104">
        <v>22000</v>
      </c>
      <c r="G104">
        <v>0</v>
      </c>
      <c r="H104">
        <f t="shared" si="3"/>
        <v>22000</v>
      </c>
      <c r="I104" t="s">
        <v>9</v>
      </c>
    </row>
    <row r="105" spans="1:9" x14ac:dyDescent="0.25">
      <c r="A105" s="8">
        <v>1602472</v>
      </c>
      <c r="B105" t="s">
        <v>171</v>
      </c>
      <c r="C105" s="6">
        <v>46030</v>
      </c>
      <c r="D105" s="1" t="s">
        <v>168</v>
      </c>
      <c r="E105" s="2" t="s">
        <v>142</v>
      </c>
      <c r="F105">
        <v>117777</v>
      </c>
      <c r="G105">
        <v>0</v>
      </c>
      <c r="H105">
        <f t="shared" si="3"/>
        <v>117777</v>
      </c>
      <c r="I105" t="s">
        <v>172</v>
      </c>
    </row>
    <row r="106" spans="1:9" x14ac:dyDescent="0.25">
      <c r="A106" s="8">
        <v>1605704</v>
      </c>
      <c r="B106" t="s">
        <v>173</v>
      </c>
      <c r="C106" s="6">
        <v>46240</v>
      </c>
      <c r="D106" s="1" t="s">
        <v>168</v>
      </c>
      <c r="E106" s="2" t="s">
        <v>142</v>
      </c>
      <c r="F106">
        <v>20738</v>
      </c>
      <c r="G106">
        <v>0</v>
      </c>
      <c r="H106">
        <f t="shared" si="3"/>
        <v>20738</v>
      </c>
      <c r="I106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2025-09-23T04:19:09Z</dcterms:created>
  <dcterms:modified xsi:type="dcterms:W3CDTF">2026-08-19T14:46:31Z</dcterms:modified>
</cp:coreProperties>
</file>